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Roadmap\Portfolio Projects\FP&amp;A Project\saas-fpa-financial-model\Data\"/>
    </mc:Choice>
  </mc:AlternateContent>
  <xr:revisionPtr revIDLastSave="0" documentId="13_ncr:1_{09D30575-B19F-4A18-B237-21EE7F091E59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Assumptions" sheetId="1" r:id="rId1"/>
    <sheet name="Revenue Model" sheetId="2" r:id="rId2"/>
    <sheet name="Cost Model" sheetId="3" r:id="rId3"/>
    <sheet name="Forecast (P&amp;L)" sheetId="4" r:id="rId4"/>
    <sheet name="Actuals" sheetId="5" r:id="rId5"/>
    <sheet name="Variance Analysis" sheetId="6" r:id="rId6"/>
    <sheet name="Dashboar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4" i="1"/>
  <c r="C3" i="1"/>
  <c r="C6" i="4"/>
  <c r="C6" i="5" s="1"/>
  <c r="D6" i="4"/>
  <c r="D6" i="5" s="1"/>
  <c r="E6" i="4"/>
  <c r="E6" i="5" s="1"/>
  <c r="F6" i="4"/>
  <c r="F6" i="5" s="1"/>
  <c r="G6" i="4"/>
  <c r="G6" i="5" s="1"/>
  <c r="H6" i="4"/>
  <c r="H6" i="5" s="1"/>
  <c r="I6" i="4"/>
  <c r="I6" i="5" s="1"/>
  <c r="J6" i="4"/>
  <c r="J6" i="5" s="1"/>
  <c r="K6" i="4"/>
  <c r="K6" i="5" s="1"/>
  <c r="L6" i="4"/>
  <c r="L6" i="5" s="1"/>
  <c r="M6" i="4"/>
  <c r="M6" i="5" s="1"/>
  <c r="B6" i="4"/>
  <c r="B6" i="5" s="1"/>
  <c r="C6" i="2"/>
  <c r="D6" i="2"/>
  <c r="E6" i="2"/>
  <c r="F6" i="2"/>
  <c r="G6" i="2"/>
  <c r="H6" i="2"/>
  <c r="I6" i="2"/>
  <c r="J6" i="2"/>
  <c r="K6" i="2"/>
  <c r="L6" i="2"/>
  <c r="M6" i="2"/>
  <c r="B6" i="2"/>
  <c r="B2" i="2"/>
  <c r="R21" i="7" l="1"/>
  <c r="B4" i="2"/>
  <c r="N21" i="7"/>
  <c r="B3" i="2"/>
  <c r="B4" i="3" s="1"/>
  <c r="B5" i="4" s="1"/>
  <c r="B5" i="5" s="1"/>
  <c r="B5" i="2" l="1"/>
  <c r="B7" i="2" s="1"/>
  <c r="C2" i="2" l="1"/>
  <c r="C4" i="2" s="1"/>
  <c r="B2" i="4"/>
  <c r="B2" i="3"/>
  <c r="B3" i="3" s="1"/>
  <c r="C3" i="2" l="1"/>
  <c r="C4" i="3" s="1"/>
  <c r="C5" i="4" s="1"/>
  <c r="C5" i="5" s="1"/>
  <c r="B5" i="3"/>
  <c r="B3" i="4"/>
  <c r="B3" i="5" s="1"/>
  <c r="B2" i="5"/>
  <c r="C5" i="2" l="1"/>
  <c r="B4" i="4"/>
  <c r="B7" i="4" s="1"/>
  <c r="B2" i="6"/>
  <c r="B3" i="6" s="1"/>
  <c r="B4" i="5"/>
  <c r="B7" i="5" s="1"/>
  <c r="B4" i="6" l="1"/>
  <c r="B5" i="6" s="1"/>
  <c r="D2" i="2"/>
  <c r="C7" i="2"/>
  <c r="D4" i="2" l="1"/>
  <c r="D3" i="2"/>
  <c r="C2" i="4"/>
  <c r="C2" i="5" s="1"/>
  <c r="C2" i="6" s="1"/>
  <c r="C3" i="6" s="1"/>
  <c r="C2" i="3"/>
  <c r="C3" i="3" s="1"/>
  <c r="D4" i="3" l="1"/>
  <c r="D5" i="4" s="1"/>
  <c r="D5" i="5" s="1"/>
  <c r="D5" i="2"/>
  <c r="C3" i="4"/>
  <c r="C3" i="5" s="1"/>
  <c r="C4" i="5" s="1"/>
  <c r="C7" i="5" s="1"/>
  <c r="C5" i="3"/>
  <c r="C4" i="4" l="1"/>
  <c r="C7" i="4" s="1"/>
  <c r="C4" i="6" s="1"/>
  <c r="C5" i="6" s="1"/>
  <c r="E2" i="2"/>
  <c r="D7" i="2"/>
  <c r="D2" i="3" l="1"/>
  <c r="D3" i="3" s="1"/>
  <c r="D2" i="4"/>
  <c r="D2" i="5" s="1"/>
  <c r="D2" i="6" s="1"/>
  <c r="D3" i="6" s="1"/>
  <c r="E3" i="2"/>
  <c r="E4" i="3" s="1"/>
  <c r="E5" i="4" s="1"/>
  <c r="E5" i="5" s="1"/>
  <c r="E4" i="2"/>
  <c r="E5" i="2" s="1"/>
  <c r="F2" i="2" l="1"/>
  <c r="E7" i="2"/>
  <c r="D3" i="4"/>
  <c r="D3" i="5" s="1"/>
  <c r="D4" i="5" s="1"/>
  <c r="D7" i="5" s="1"/>
  <c r="D5" i="3"/>
  <c r="E2" i="4" l="1"/>
  <c r="E2" i="5" s="1"/>
  <c r="E2" i="6" s="1"/>
  <c r="E3" i="6" s="1"/>
  <c r="E2" i="3"/>
  <c r="E3" i="3" s="1"/>
  <c r="F4" i="2"/>
  <c r="F3" i="2"/>
  <c r="D4" i="4"/>
  <c r="D7" i="4" s="1"/>
  <c r="D4" i="6" s="1"/>
  <c r="D5" i="6" s="1"/>
  <c r="F4" i="3" l="1"/>
  <c r="F5" i="4" s="1"/>
  <c r="F5" i="5" s="1"/>
  <c r="F5" i="2"/>
  <c r="E3" i="4"/>
  <c r="E3" i="5" s="1"/>
  <c r="E4" i="5" s="1"/>
  <c r="E7" i="5" s="1"/>
  <c r="E5" i="3"/>
  <c r="F7" i="2" l="1"/>
  <c r="G2" i="2"/>
  <c r="E4" i="4"/>
  <c r="E7" i="4" s="1"/>
  <c r="E4" i="6" s="1"/>
  <c r="E5" i="6" s="1"/>
  <c r="G4" i="2" l="1"/>
  <c r="G3" i="2"/>
  <c r="G4" i="3" s="1"/>
  <c r="G5" i="4" s="1"/>
  <c r="G5" i="5" s="1"/>
  <c r="G5" i="2"/>
  <c r="F2" i="3"/>
  <c r="F3" i="3" s="1"/>
  <c r="F2" i="4"/>
  <c r="F2" i="5" l="1"/>
  <c r="F5" i="3"/>
  <c r="F3" i="4"/>
  <c r="F3" i="5" s="1"/>
  <c r="H2" i="2"/>
  <c r="G7" i="2"/>
  <c r="G2" i="4" l="1"/>
  <c r="G2" i="5" s="1"/>
  <c r="G2" i="3"/>
  <c r="G3" i="3" s="1"/>
  <c r="H3" i="2"/>
  <c r="H4" i="2"/>
  <c r="F4" i="4"/>
  <c r="F7" i="4" s="1"/>
  <c r="F2" i="6"/>
  <c r="F3" i="6" s="1"/>
  <c r="F4" i="5"/>
  <c r="F7" i="5" s="1"/>
  <c r="F4" i="6" s="1"/>
  <c r="F5" i="6" s="1"/>
  <c r="G2" i="6"/>
  <c r="G3" i="6" s="1"/>
  <c r="H4" i="3" l="1"/>
  <c r="H5" i="4" s="1"/>
  <c r="H5" i="5" s="1"/>
  <c r="H5" i="2"/>
  <c r="G3" i="4"/>
  <c r="G5" i="3"/>
  <c r="G3" i="5" l="1"/>
  <c r="G4" i="5" s="1"/>
  <c r="G7" i="5" s="1"/>
  <c r="G4" i="4"/>
  <c r="G7" i="4" s="1"/>
  <c r="I2" i="2"/>
  <c r="H7" i="2"/>
  <c r="H2" i="4" l="1"/>
  <c r="H2" i="5" s="1"/>
  <c r="H2" i="3"/>
  <c r="H3" i="3" s="1"/>
  <c r="I4" i="2"/>
  <c r="I3" i="2"/>
  <c r="G4" i="6"/>
  <c r="G5" i="6" s="1"/>
  <c r="H2" i="6"/>
  <c r="H3" i="6" s="1"/>
  <c r="I4" i="3" l="1"/>
  <c r="I5" i="4" s="1"/>
  <c r="I5" i="5" s="1"/>
  <c r="I5" i="2"/>
  <c r="H5" i="3"/>
  <c r="H3" i="4"/>
  <c r="H3" i="5" l="1"/>
  <c r="H4" i="5" s="1"/>
  <c r="H7" i="5" s="1"/>
  <c r="H4" i="4"/>
  <c r="H7" i="4" s="1"/>
  <c r="J2" i="2"/>
  <c r="I7" i="2"/>
  <c r="I2" i="4" l="1"/>
  <c r="I2" i="5" s="1"/>
  <c r="I2" i="3"/>
  <c r="I3" i="3" s="1"/>
  <c r="J4" i="2"/>
  <c r="J3" i="2"/>
  <c r="H4" i="6"/>
  <c r="H5" i="6" s="1"/>
  <c r="I2" i="6"/>
  <c r="I3" i="6" s="1"/>
  <c r="J4" i="3" l="1"/>
  <c r="J5" i="4" s="1"/>
  <c r="J5" i="5" s="1"/>
  <c r="J5" i="2"/>
  <c r="I3" i="4"/>
  <c r="I5" i="3"/>
  <c r="I3" i="5" l="1"/>
  <c r="I4" i="5" s="1"/>
  <c r="I7" i="5" s="1"/>
  <c r="I4" i="4"/>
  <c r="I7" i="4" s="1"/>
  <c r="K2" i="2"/>
  <c r="J7" i="2"/>
  <c r="J2" i="3" l="1"/>
  <c r="J3" i="3" s="1"/>
  <c r="J2" i="4"/>
  <c r="J2" i="5" s="1"/>
  <c r="K3" i="2"/>
  <c r="K4" i="2"/>
  <c r="I4" i="6"/>
  <c r="I5" i="6" s="1"/>
  <c r="J2" i="6"/>
  <c r="J3" i="6" s="1"/>
  <c r="K4" i="3" l="1"/>
  <c r="K5" i="4" s="1"/>
  <c r="K5" i="5" s="1"/>
  <c r="K5" i="2"/>
  <c r="J5" i="3"/>
  <c r="J3" i="4"/>
  <c r="J3" i="5" l="1"/>
  <c r="J4" i="5" s="1"/>
  <c r="J7" i="5" s="1"/>
  <c r="J4" i="4"/>
  <c r="J7" i="4" s="1"/>
  <c r="L2" i="2"/>
  <c r="K7" i="2"/>
  <c r="K2" i="3" l="1"/>
  <c r="K3" i="3" s="1"/>
  <c r="K2" i="4"/>
  <c r="L4" i="2"/>
  <c r="L3" i="2"/>
  <c r="L4" i="3" s="1"/>
  <c r="L5" i="4" s="1"/>
  <c r="L5" i="5" s="1"/>
  <c r="L5" i="2"/>
  <c r="J4" i="6"/>
  <c r="J5" i="6" s="1"/>
  <c r="M2" i="2" l="1"/>
  <c r="L7" i="2"/>
  <c r="K2" i="5"/>
  <c r="K5" i="3"/>
  <c r="K3" i="4"/>
  <c r="K3" i="5" s="1"/>
  <c r="K4" i="4" l="1"/>
  <c r="K7" i="4" s="1"/>
  <c r="K4" i="5"/>
  <c r="K7" i="5" s="1"/>
  <c r="K4" i="6" s="1"/>
  <c r="K5" i="6" s="1"/>
  <c r="K2" i="6"/>
  <c r="K3" i="6" s="1"/>
  <c r="L2" i="4"/>
  <c r="L2" i="5" s="1"/>
  <c r="L2" i="3"/>
  <c r="L3" i="3" s="1"/>
  <c r="M3" i="2"/>
  <c r="M4" i="2"/>
  <c r="L2" i="6"/>
  <c r="L3" i="6" s="1"/>
  <c r="M4" i="3" l="1"/>
  <c r="M5" i="4" s="1"/>
  <c r="M5" i="5" s="1"/>
  <c r="M5" i="2"/>
  <c r="L3" i="4"/>
  <c r="L5" i="3"/>
  <c r="L3" i="5" l="1"/>
  <c r="L4" i="5" s="1"/>
  <c r="L7" i="5" s="1"/>
  <c r="L4" i="4"/>
  <c r="L7" i="4" s="1"/>
  <c r="K21" i="7"/>
  <c r="M7" i="2"/>
  <c r="M2" i="4" l="1"/>
  <c r="M2" i="5" s="1"/>
  <c r="M2" i="3"/>
  <c r="M3" i="3" s="1"/>
  <c r="D21" i="7"/>
  <c r="L4" i="6"/>
  <c r="L5" i="6" s="1"/>
  <c r="M2" i="6"/>
  <c r="M3" i="6" s="1"/>
  <c r="M3" i="4" l="1"/>
  <c r="M5" i="3"/>
  <c r="M3" i="5" l="1"/>
  <c r="M4" i="5" s="1"/>
  <c r="M7" i="5" s="1"/>
  <c r="M4" i="4"/>
  <c r="M7" i="4" s="1"/>
  <c r="B21" i="7" l="1"/>
  <c r="H21" i="7"/>
  <c r="M4" i="6"/>
  <c r="M5" i="6" s="1"/>
</calcChain>
</file>

<file path=xl/sharedStrings.xml><?xml version="1.0" encoding="utf-8"?>
<sst xmlns="http://schemas.openxmlformats.org/spreadsheetml/2006/main" count="131" uniqueCount="62">
  <si>
    <t>Category</t>
  </si>
  <si>
    <t>Metric</t>
  </si>
  <si>
    <t>Value</t>
  </si>
  <si>
    <t>Customers</t>
  </si>
  <si>
    <t>Starting Customers</t>
  </si>
  <si>
    <t>Monthly Growth Rate</t>
  </si>
  <si>
    <t>Monthly Churn Rate</t>
  </si>
  <si>
    <t>Pricing</t>
  </si>
  <si>
    <t>Avg Revenue per User (ARPU)</t>
  </si>
  <si>
    <t>Costs</t>
  </si>
  <si>
    <t>Variable Cost (% of Revenue)</t>
  </si>
  <si>
    <t>Fixed Costs (Monthly)</t>
  </si>
  <si>
    <t>Marketing</t>
  </si>
  <si>
    <t>Customer Acquisition Cost (CAC)</t>
  </si>
  <si>
    <t>Forecast Period</t>
  </si>
  <si>
    <t>12 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</si>
  <si>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</si>
  <si>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</si>
  <si>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</si>
  <si>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</si>
  <si>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</si>
  <si>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</si>
  <si>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</si>
  <si>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</si>
  <si>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</si>
  <si>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</si>
  <si>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</si>
  <si>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</si>
  <si>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New Customers</t>
  </si>
  <si>
    <t>Churned Customers</t>
  </si>
  <si>
    <t>Ending Customers</t>
  </si>
  <si>
    <t>Monthly Recurring Revenue (MRR) (€)</t>
  </si>
  <si>
    <t>Average Revenue Per User (ARPU) (€)</t>
  </si>
  <si>
    <t>Revenue (€)</t>
  </si>
  <si>
    <t>Variable Costs (€)</t>
  </si>
  <si>
    <t>Total Costs (€)</t>
  </si>
  <si>
    <t>Customer Acquisition Cost (CAC) (€)</t>
  </si>
  <si>
    <t>Gross Profit (€)</t>
  </si>
  <si>
    <t>Fixed Costs (€)</t>
  </si>
  <si>
    <t>EBITDA (€)</t>
  </si>
  <si>
    <t>Revenue Variance (€)</t>
  </si>
  <si>
    <t>Revenue Variance (%)</t>
  </si>
  <si>
    <t>EBITDA Variance (€)</t>
  </si>
  <si>
    <t>EBITDA Variance (%)</t>
  </si>
  <si>
    <t>CUSTOMERS</t>
  </si>
  <si>
    <t xml:space="preserve"> </t>
  </si>
  <si>
    <t>LTV (Lifetime Value)</t>
  </si>
  <si>
    <t>€</t>
  </si>
  <si>
    <t>x</t>
  </si>
  <si>
    <t>%</t>
  </si>
  <si>
    <t>Scenario</t>
  </si>
  <si>
    <t>Growth Rate</t>
  </si>
  <si>
    <t>Churn Rate</t>
  </si>
  <si>
    <t>CAC</t>
  </si>
  <si>
    <t>Base</t>
  </si>
  <si>
    <t>Best</t>
  </si>
  <si>
    <t>Worst</t>
  </si>
  <si>
    <t>EBITDA MARGIN</t>
  </si>
  <si>
    <t>LATEST MRR</t>
  </si>
  <si>
    <t>LATEST EBITDA</t>
  </si>
  <si>
    <t>LTV/CAC RATIO</t>
  </si>
  <si>
    <t xml:space="preserve">Select Scenario👉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</si>
</sst>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92D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92D050"/>
      <name val="Calibri"/>
      <family val="2"/>
      <scheme val="minor"/>
    </font>
    <font>
      <b/>
      <sz val="20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3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Recurring Revenue (MRR) Growth </a:t>
            </a:r>
          </a:p>
        </c:rich>
      </c:tx>
      <c:layout>
        <c:manualLayout>
          <c:xMode val="edge"/>
          <c:yMode val="edge"/>
          <c:x val="0.15349530873227205"/>
          <c:y val="3.6297640653357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'Revenue Model'!$A$7</c:f>
              <c:strCache>
                <c:ptCount val="1"/>
                <c:pt idx="0">
                  <c:v>Monthly Recurring Revenue (MRR) (€)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'Revenue Model'!$B$1:$M$1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Model'!$B$7:$M$7</c:f>
              <c:numCache>
                <c:formatCode>General</c:formatCode>
                <c:ptCount val="12"/>
                <c:pt idx="0">
                  <c:v>51000</c:v>
                </c:pt>
                <c:pt idx="1">
                  <c:v>52020.000000000007</c:v>
                </c:pt>
                <c:pt idx="2">
                  <c:v>53060.4</c:v>
                </c:pt>
                <c:pt idx="3">
                  <c:v>54121.608</c:v>
                </c:pt>
                <c:pt idx="4">
                  <c:v>55204.040159999997</c:v>
                </c:pt>
                <c:pt idx="5">
                  <c:v>56308.120963199995</c:v>
                </c:pt>
                <c:pt idx="6">
                  <c:v>57434.283382464004</c:v>
                </c:pt>
                <c:pt idx="7">
                  <c:v>58582.969050113272</c:v>
                </c:pt>
                <c:pt idx="8">
                  <c:v>59754.628431115532</c:v>
                </c:pt>
                <c:pt idx="9">
                  <c:v>60949.720999737852</c:v>
                </c:pt>
                <c:pt idx="10">
                  <c:v>62168.715419732602</c:v>
                </c:pt>
                <c:pt idx="11">
                  <c:v>63412.089728127248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7-4A84-8E46-5B43B02D1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0948495"/>
        <c:axId val="1710961455"/>
      </c:lineChart>
      <c:catAx>
        <c:axId val="171094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961455"/>
        <c:crosses val="autoZero"/>
        <c:auto val="1"/>
        <c:lblAlgn val="ctr"/>
        <c:lblOffset val="100"/>
        <c:noMultiLvlLbl val="0"/>
      </c:catAx>
      <c:valAx>
        <c:axId val="171096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94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'Forecast (P&amp;L)'!$A$7</c:f>
              <c:strCache>
                <c:ptCount val="1"/>
                <c:pt idx="0">
                  <c:v>EBITDA (€)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'Forecast (P&amp;L)'!$B$1:$M$1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'Forecast (P&amp;L)'!$B$7:$M$7</c:f>
              <c:numCache>
                <c:formatCode>#,##0</c:formatCode>
                <c:ptCount val="12"/>
                <c:pt idx="0">
                  <c:v>5800</c:v>
                </c:pt>
                <c:pt idx="1">
                  <c:v>6516.0000000000073</c:v>
                </c:pt>
                <c:pt idx="2">
                  <c:v>7246.32</c:v>
                </c:pt>
                <c:pt idx="3">
                  <c:v>7991.2463999999964</c:v>
                </c:pt>
                <c:pt idx="4">
                  <c:v>8751.0713279999982</c:v>
                </c:pt>
                <c:pt idx="5">
                  <c:v>9526.0927545599989</c:v>
                </c:pt>
                <c:pt idx="6">
                  <c:v>10316.614609651202</c:v>
                </c:pt>
                <c:pt idx="7">
                  <c:v>11122.946901844218</c:v>
                </c:pt>
                <c:pt idx="8">
                  <c:v>11945.405839881103</c:v>
                </c:pt>
                <c:pt idx="9">
                  <c:v>12784.313956678729</c:v>
                </c:pt>
                <c:pt idx="10">
                  <c:v>13640.000235812295</c:v>
                </c:pt>
                <c:pt idx="11">
                  <c:v>14512.800240528537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2-4E2D-B4C6-E833B9F31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40303"/>
        <c:axId val="185043663"/>
      </c:lineChart>
      <c:catAx>
        <c:axId val="18504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43663"/>
        <c:crosses val="autoZero"/>
        <c:auto val="1"/>
        <c:lblAlgn val="ctr"/>
        <c:lblOffset val="100"/>
        <c:noMultiLvlLbl val="0"/>
      </c:catAx>
      <c:valAx>
        <c:axId val="18504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4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Model'!$A$5</c:f>
              <c:strCache>
                <c:ptCount val="1"/>
                <c:pt idx="0">
                  <c:v>Ending Customers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'Revenue Model'!$B$1:$M$1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Model'!$B$5:$M$5</c:f>
              <c:numCache>
                <c:formatCode>#,##0</c:formatCode>
                <c:ptCount val="12"/>
                <c:pt idx="0">
                  <c:v>1020</c:v>
                </c:pt>
                <c:pt idx="1">
                  <c:v>1040.4000000000001</c:v>
                </c:pt>
                <c:pt idx="2">
                  <c:v>1061.2080000000001</c:v>
                </c:pt>
                <c:pt idx="3">
                  <c:v>1082.4321600000001</c:v>
                </c:pt>
                <c:pt idx="4">
                  <c:v>1104.0808032</c:v>
                </c:pt>
                <c:pt idx="5">
                  <c:v>1126.1624192639999</c:v>
                </c:pt>
                <c:pt idx="6">
                  <c:v>1148.68566764928</c:v>
                </c:pt>
                <c:pt idx="7">
                  <c:v>1171.6593810022655</c:v>
                </c:pt>
                <c:pt idx="8">
                  <c:v>1195.0925686223106</c:v>
                </c:pt>
                <c:pt idx="9">
                  <c:v>1218.994419994757</c:v>
                </c:pt>
                <c:pt idx="10">
                  <c:v>1243.374308394652</c:v>
                </c:pt>
                <c:pt idx="11">
                  <c:v>1268.241794562545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C8-4B6E-81F9-7E837EB2D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5070543"/>
        <c:axId val="185068143"/>
      </c:barChart>
      <c:catAx>
        <c:axId val="18507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8143"/>
        <c:crosses val="autoZero"/>
        <c:auto val="1"/>
        <c:lblAlgn val="ctr"/>
        <c:lblOffset val="100"/>
        <c:noMultiLvlLbl val="0"/>
      </c:catAx>
      <c:valAx>
        <c:axId val="18506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0</xdr:row>
      <xdr:rowOff>38100</xdr:rowOff>
    </xdr:from>
    <xdr:to>
      <xdr:col>22</xdr:col>
      <xdr:colOff>0</xdr:colOff>
      <xdr:row>2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FDEC83-B3F1-A42A-B877-77BBC1740945}"/>
            </a:ext>
          </a:extLst>
        </xdr:cNvPr>
        <xdr:cNvSpPr txBox="1"/>
      </xdr:nvSpPr>
      <xdr:spPr>
        <a:xfrm>
          <a:off x="91440" y="38100"/>
          <a:ext cx="13982700" cy="3810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SaaS FP&amp;A Dashboard</a:t>
          </a:r>
          <a:endParaRPr lang="en-IN" sz="2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609600</xdr:colOff>
      <xdr:row>17</xdr:row>
      <xdr:rowOff>175260</xdr:rowOff>
    </xdr:from>
    <xdr:to>
      <xdr:col>12</xdr:col>
      <xdr:colOff>495300</xdr:colOff>
      <xdr:row>18</xdr:row>
      <xdr:rowOff>312420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DD1444-0BC8-5BA7-F637-38B86BF40BBF}"/>
            </a:ext>
          </a:extLst>
        </xdr:cNvPr>
        <xdr:cNvSpPr txBox="1"/>
      </xdr:nvSpPr>
      <xdr:spPr>
        <a:xfrm>
          <a:off x="5928360" y="3284220"/>
          <a:ext cx="2750820" cy="32004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accent5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CORE</a:t>
          </a:r>
          <a:r>
            <a:rPr lang="en-IN" sz="1400" b="1" baseline="0">
              <a:solidFill>
                <a:schemeClr val="accent5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KPIs</a:t>
          </a:r>
          <a:endParaRPr lang="en-IN" sz="1400" b="1">
            <a:solidFill>
              <a:schemeClr val="accent5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426720</xdr:colOff>
      <xdr:row>2</xdr:row>
      <xdr:rowOff>95250</xdr:rowOff>
    </xdr:from>
    <xdr:to>
      <xdr:col>14</xdr:col>
      <xdr:colOff>0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2A09CF-B51D-7D83-7612-CEBC982A4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102870</xdr:rowOff>
    </xdr:from>
    <xdr:to>
      <xdr:col>22</xdr:col>
      <xdr:colOff>0</xdr:colOff>
      <xdr:row>17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DF022B-2F68-22C9-E1D6-CE4E6F9D1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91440</xdr:colOff>
      <xdr:row>2</xdr:row>
      <xdr:rowOff>102870</xdr:rowOff>
    </xdr:from>
    <xdr:to>
      <xdr:col>6</xdr:col>
      <xdr:colOff>426720</xdr:colOff>
      <xdr:row>17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3A9E8F-61C9-7CD0-2820-4B9D51125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ECE85-7527-44D2-872E-FE03366BAB4A}" name="Table1" displayName="Table1" ref="A1:C8" totalsRowShown="0">
  <tableColumns count="3">
    <tableColumn id="1" xr3:uid="{B7350A12-6F10-4564-A8CC-449BD3842BE5}" name="Category" dataDxfId="10"/>
    <tableColumn id="2" xr3:uid="{CFF31ED1-0EB9-4407-B5B4-B2E472EC69E0}" name="Metric" dataDxfId="9"/>
    <tableColumn id="3" xr3:uid="{0D8B0885-53B0-409C-AB8A-8ADF3081755C}" name="Value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E098BD-15B5-40EA-A07C-C3EFD8078F37}" name="Table7" displayName="Table7" ref="F1:I4" totalsRowShown="0">
  <tableColumns count="4">
    <tableColumn id="1" xr3:uid="{EF3447AC-8018-45BB-9553-64B23F84D397}" name="Scenario" dataDxfId="8"/>
    <tableColumn id="2" xr3:uid="{D680D2A6-A019-43DD-8F7E-33E4358F4009}" name="Growth Rate" dataDxfId="7"/>
    <tableColumn id="3" xr3:uid="{9CFE74D7-7605-48C4-A03E-D4337170180A}" name="Churn Rate" dataDxfId="6"/>
    <tableColumn id="4" xr3:uid="{465A42C0-AA7C-4722-99F7-48332F55C0D7}" name="CAC" dataDxfId="5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AAAC8A-0441-46FD-9934-D7521BF73291}" name="Table2" displayName="Table2" ref="A1:M7" totalsRowShown="0" headerRowDxfId="4">
  <tableColumns count="13">
    <tableColumn id="1" xr3:uid="{52B50813-6AED-41B9-B151-7D1ECA2672CF}" name="Metric"/>
    <tableColumn id="2" xr3:uid="{76D624F4-D17E-4B2A-B669-4E84C9EB4769}" name="January"/>
    <tableColumn id="3" xr3:uid="{6C2D9A46-E4F6-43CE-AC01-6A6CA1E9AEFB}" name="February"/>
    <tableColumn id="4" xr3:uid="{4AC28161-62B2-45E2-93FF-6A59AFD360A4}" name="March"/>
    <tableColumn id="5" xr3:uid="{4C320D95-B245-4DB9-9D2D-277716296EE0}" name="April"/>
    <tableColumn id="6" xr3:uid="{B42B4C16-9D59-4AD6-99C1-53EC36BD4900}" name="May"/>
    <tableColumn id="7" xr3:uid="{4488A3D6-F7E2-4EBE-A0E0-ABD1506F59FD}" name="June"/>
    <tableColumn id="8" xr3:uid="{51E3DC47-FB09-4952-8931-846A72CB0CAD}" name="July"/>
    <tableColumn id="9" xr3:uid="{04D7A07D-03C0-4C97-8D77-D4581FF496AB}" name="August"/>
    <tableColumn id="10" xr3:uid="{EB5C448A-399B-4CC5-BDC2-A798938488CD}" name="September"/>
    <tableColumn id="11" xr3:uid="{3545C394-4D98-4789-A26F-D14FBBDAEA54}" name="October"/>
    <tableColumn id="12" xr3:uid="{FE7454F6-DDFE-4E16-B2F1-F5ED48AF5BF8}" name="November"/>
    <tableColumn id="13" xr3:uid="{128CC858-38DF-449E-96E9-0E5792205D8F}" name="Decemb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2B41EB-1AB7-4F0F-8FBF-6037EE12B9F7}" name="Table3" displayName="Table3" ref="A1:M5" totalsRowShown="0" headerRowDxfId="3">
  <tableColumns count="13">
    <tableColumn id="1" xr3:uid="{CE99311A-A8A3-46C8-B594-EBC68444992D}" name="Metric"/>
    <tableColumn id="2" xr3:uid="{48BF440C-B851-453A-B551-EF18CF820B0B}" name="January"/>
    <tableColumn id="3" xr3:uid="{17EF00E3-9D3F-4CB3-9A3D-CC0A48A69904}" name="February"/>
    <tableColumn id="4" xr3:uid="{DD2216CA-32F6-47DB-9521-C953DCA8B27D}" name="March"/>
    <tableColumn id="5" xr3:uid="{33E72EA9-2221-4FF3-8B57-5DF26502A52D}" name="April"/>
    <tableColumn id="6" xr3:uid="{A0593188-0BC5-41EB-93BC-D83616D608EA}" name="May"/>
    <tableColumn id="7" xr3:uid="{54C11CFB-9DD0-4BB5-927B-ED400581C969}" name="June"/>
    <tableColumn id="8" xr3:uid="{32D2DEA7-7DA8-4CD2-940A-B882BCC12A5A}" name="July"/>
    <tableColumn id="9" xr3:uid="{66BBEA8F-8C7E-45CE-8756-C2E5E9D03320}" name="August"/>
    <tableColumn id="10" xr3:uid="{850AB721-D526-4CD3-B49F-51C84BE32196}" name="September"/>
    <tableColumn id="11" xr3:uid="{EF1338B8-BA14-4B7D-B962-63B07F787A1D}" name="October"/>
    <tableColumn id="12" xr3:uid="{19E81198-E235-4598-B8EA-209A6CF3C963}" name="November"/>
    <tableColumn id="13" xr3:uid="{8586D26D-E9C4-481F-90F2-13725FD57541}" name="December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F75D3C-BB2A-49D5-A373-683B8E9FE109}" name="Table4" displayName="Table4" ref="A1:M7" totalsRowShown="0" headerRowDxfId="2">
  <tableColumns count="13">
    <tableColumn id="1" xr3:uid="{741AED99-5582-4C04-8A79-03C96C8CA0C7}" name="Metric"/>
    <tableColumn id="2" xr3:uid="{CBE698D1-8CFB-4E18-81DF-D70B63E1C905}" name="January"/>
    <tableColumn id="3" xr3:uid="{E4B9F9E9-68C0-4E35-9CA5-7E75FC45308B}" name="February"/>
    <tableColumn id="4" xr3:uid="{16EA5E25-CBEA-4281-9C8E-37DB96119C95}" name="March"/>
    <tableColumn id="5" xr3:uid="{0A773272-7AFA-4FC9-BD0C-DFE8210E8EA9}" name="April"/>
    <tableColumn id="6" xr3:uid="{0402845C-88BD-4A0B-A51E-68BB57662CCA}" name="May"/>
    <tableColumn id="7" xr3:uid="{DC58747F-4A12-497D-9AFD-E7081B1F7DA0}" name="June"/>
    <tableColumn id="8" xr3:uid="{F1F5303D-8650-474B-AC38-D859BB908819}" name="July"/>
    <tableColumn id="9" xr3:uid="{063880C7-4144-468E-A53A-5209A67775D0}" name="August"/>
    <tableColumn id="10" xr3:uid="{31746A10-8101-4B19-B9DC-BAB0316187B6}" name="September"/>
    <tableColumn id="11" xr3:uid="{5C26DBA9-9A65-4727-87A0-EB5D0E21E80F}" name="October"/>
    <tableColumn id="12" xr3:uid="{F9475174-07AB-4992-B2E3-5F9A6AE248EA}" name="November"/>
    <tableColumn id="13" xr3:uid="{7619C49F-BCE7-4CE4-9B94-C60ACB7AAB3F}" name="December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5704C4-BA83-41C1-8FAB-3B2FC6EA033A}" name="Table5" displayName="Table5" ref="A1:M7" totalsRowShown="0" headerRowDxfId="1">
  <tableColumns count="13">
    <tableColumn id="1" xr3:uid="{A0625A0F-F625-4A15-8E31-092C0584E208}" name="Metric"/>
    <tableColumn id="2" xr3:uid="{1A218E88-5740-49D2-A171-2E1331EFFDA4}" name="January"/>
    <tableColumn id="3" xr3:uid="{D92E3407-B603-4289-A85D-69444C1B0EDD}" name="February"/>
    <tableColumn id="4" xr3:uid="{2D12AD75-1B96-4BB4-A317-E6BC1F74E6CC}" name="March"/>
    <tableColumn id="5" xr3:uid="{E1F944F6-B0E3-4FA3-BC8C-6CFD805BF690}" name="April"/>
    <tableColumn id="6" xr3:uid="{95DCB5BF-6062-4AA4-82D4-59B83B1565A0}" name="May"/>
    <tableColumn id="7" xr3:uid="{DBC45C91-5987-46F8-A004-3C53B4039E8E}" name="June"/>
    <tableColumn id="8" xr3:uid="{BD383A83-F71E-463B-99B9-440A5F3401F3}" name="July"/>
    <tableColumn id="9" xr3:uid="{A887FF6D-AA59-4926-BCB5-3C3BF96300E7}" name="August"/>
    <tableColumn id="10" xr3:uid="{0D5B74A7-434D-4904-A26F-54687E1F7A8E}" name="September"/>
    <tableColumn id="11" xr3:uid="{CF6C7821-FB3C-4248-B012-6332454C2067}" name="October"/>
    <tableColumn id="12" xr3:uid="{781EB601-3CBD-4FCC-A1A7-0E780872F454}" name="November"/>
    <tableColumn id="13" xr3:uid="{3CA1ECEE-05C1-4126-9D40-A713C02C1408}" name="December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36AFE0-813A-4DB6-8735-8BD7AC8024FA}" name="Table6" displayName="Table6" ref="A1:M5" totalsRowShown="0" headerRowDxfId="0">
  <tableColumns count="13">
    <tableColumn id="1" xr3:uid="{D089FC53-5247-46D0-93BF-4D97CF1F4629}" name="Metric"/>
    <tableColumn id="2" xr3:uid="{E678D9F3-439A-44CC-917B-BDA15960BDD5}" name="January"/>
    <tableColumn id="3" xr3:uid="{7B57BBA5-E30C-48F1-868C-93958FFA81A0}" name="February"/>
    <tableColumn id="4" xr3:uid="{8C3F8F7C-4262-411D-98AB-C6748B82C6A3}" name="March"/>
    <tableColumn id="5" xr3:uid="{CCCCA162-C0A7-41BF-B256-6B6F7B55921F}" name="April"/>
    <tableColumn id="6" xr3:uid="{24D2C5E5-E738-470F-B761-D2DFA0B729B7}" name="May"/>
    <tableColumn id="7" xr3:uid="{3BB69684-F6B0-4100-8434-4AC0AC161C3E}" name="June"/>
    <tableColumn id="8" xr3:uid="{B450413E-28E9-4097-88A2-74D8BCCFA692}" name="July"/>
    <tableColumn id="9" xr3:uid="{F7A2EA0E-F8BB-4C78-B99D-906D62803FB0}" name="August"/>
    <tableColumn id="10" xr3:uid="{7CB290CA-8EBD-40A5-AB9D-547ABFF3979C}" name="September"/>
    <tableColumn id="11" xr3:uid="{DEE942CD-81F4-42CB-B5EF-2B1790984F3F}" name="October"/>
    <tableColumn id="12" xr3:uid="{1A1B2B3A-9C4C-4D0C-8BB5-D7A70977368A}" name="November"/>
    <tableColumn id="13" xr3:uid="{6804713E-9FEB-40F8-9A0F-0969F8698803}" name="December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I11"/>
  <sheetViews>
    <sheetView workbookViewId="0">
      <selection activeCell="F7" sqref="F7"/>
    </sheetView>
  </sheetViews>
  <sheetFormatPr defaultColWidth="9.77734375" defaultRowHeight="14.4" x14ac:dyDescent="0.3"/>
  <cols>
    <col min="1" max="1" width="9.6640625" bestFit="1" customWidth="1"/>
    <col min="2" max="2" width="27.6640625" bestFit="1" customWidth="1"/>
    <col min="3" max="3" width="9.5546875" bestFit="1" customWidth="1"/>
    <col min="5" max="5" width="16.6640625" bestFit="1" customWidth="1"/>
    <col min="6" max="6" width="8.21875" bestFit="1" customWidth="1"/>
    <col min="7" max="7" width="11.44140625" bestFit="1" customWidth="1"/>
    <col min="8" max="8" width="10.33203125" bestFit="1" customWidth="1"/>
    <col min="9" max="9" width="4.44140625" bestFit="1" customWidth="1"/>
  </cols>
  <sheetData>
    <row r="1" spans="1:9" x14ac:dyDescent="0.3">
      <c r="A1" s="7" t="s">
        <v>0</v>
      </c>
      <c r="B1" s="7" t="s">
        <v>1</v>
      </c>
      <c r="C1" s="1" t="s">
        <v>2</v>
      </c>
      <c r="F1" s="1" t="s">
        <v>50</v>
      </c>
      <c r="G1" s="7" t="s">
        <v>51</v>
      </c>
      <c r="H1" s="7" t="s">
        <v>52</v>
      </c>
      <c r="I1" s="1" t="s">
        <v>53</v>
      </c>
    </row>
    <row r="2" spans="1:9" x14ac:dyDescent="0.3">
      <c r="A2" s="6" t="s">
        <v>3</v>
      </c>
      <c r="B2" s="6" t="s">
        <v>4</v>
      </c>
      <c r="C2" s="4">
        <v>1000</v>
      </c>
      <c r="F2" s="2" t="s">
        <v>54</v>
      </c>
      <c r="G2" s="5">
        <v>0.05</v>
      </c>
      <c r="H2" s="5">
        <v>0.03</v>
      </c>
      <c r="I2" s="2">
        <v>100</v>
      </c>
    </row>
    <row r="3" spans="1:9" x14ac:dyDescent="0.3">
      <c r="A3" s="6" t="s">
        <v>3</v>
      </c>
      <c r="B3" s="6" t="s">
        <v>5</v>
      </c>
      <c r="C3" s="5">
        <f>IF(F7="Base", 5%,
IF(F7="Best", 7%,
IF(F7="Worst", 3%, "")))</f>
        <v>0.05</v>
      </c>
      <c r="F3" s="2" t="s">
        <v>55</v>
      </c>
      <c r="G3" s="5">
        <v>7.0000000000000007E-2</v>
      </c>
      <c r="H3" s="5">
        <v>0.02</v>
      </c>
      <c r="I3" s="2">
        <v>80</v>
      </c>
    </row>
    <row r="4" spans="1:9" x14ac:dyDescent="0.3">
      <c r="A4" s="6" t="s">
        <v>3</v>
      </c>
      <c r="B4" s="6" t="s">
        <v>6</v>
      </c>
      <c r="C4" s="5">
        <f>IF(F7="Base", 3%,
IF(F7="Best", 2%,
IF(F7="Worst", 5%, "")))</f>
        <v>0.03</v>
      </c>
      <c r="F4" s="2" t="s">
        <v>56</v>
      </c>
      <c r="G4" s="5">
        <v>0.03</v>
      </c>
      <c r="H4" s="5">
        <v>0.05</v>
      </c>
      <c r="I4" s="2">
        <v>150</v>
      </c>
    </row>
    <row r="5" spans="1:9" x14ac:dyDescent="0.3">
      <c r="A5" s="6" t="s">
        <v>7</v>
      </c>
      <c r="B5" s="6" t="s">
        <v>8</v>
      </c>
      <c r="C5" s="2">
        <v>50</v>
      </c>
    </row>
    <row r="6" spans="1:9" x14ac:dyDescent="0.3">
      <c r="A6" s="6" t="s">
        <v>9</v>
      </c>
      <c r="B6" s="6" t="s">
        <v>10</v>
      </c>
      <c r="C6" s="5">
        <v>0.2</v>
      </c>
    </row>
    <row r="7" spans="1:9" x14ac:dyDescent="0.3">
      <c r="A7" s="6" t="s">
        <v>9</v>
      </c>
      <c r="B7" s="6" t="s">
        <v>11</v>
      </c>
      <c r="C7" s="4">
        <v>30000</v>
      </c>
      <c r="E7" s="20" t="s">
        <v>61</v>
      </c>
      <c r="F7" s="11" t="s">
        <v>54</v>
      </c>
    </row>
    <row r="8" spans="1:9" x14ac:dyDescent="0.3">
      <c r="A8" s="6" t="s">
        <v>12</v>
      </c>
      <c r="B8" s="6" t="s">
        <v>13</v>
      </c>
      <c r="C8" s="2">
        <f>IF(F7="Base", 100,
IF(F7="Best", 80,
IF(F7="Worst", 150, "")))</f>
        <v>100</v>
      </c>
    </row>
    <row r="11" spans="1:9" x14ac:dyDescent="0.3">
      <c r="B11" s="19" t="s">
        <v>14</v>
      </c>
      <c r="C11" s="19" t="s">
        <v>15</v>
      </c>
    </row>
  </sheetData>
  <dataValidations count="1">
    <dataValidation type="list" allowBlank="1" showInputMessage="1" showErrorMessage="1" sqref="F7" xr:uid="{9FC62BBB-0C3E-4413-8E69-C479F0093EE8}">
      <formula1>"Base,Best,Worst"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D68F-DFC7-4436-9492-897BE2876317}">
  <sheetPr>
    <tabColor theme="8" tint="0.39997558519241921"/>
  </sheetPr>
  <dimension ref="A1:M7"/>
  <sheetViews>
    <sheetView workbookViewId="0">
      <selection activeCell="C10" sqref="C10"/>
    </sheetView>
  </sheetViews>
  <sheetFormatPr defaultRowHeight="14.4" x14ac:dyDescent="0.3"/>
  <cols>
    <col min="1" max="1" width="31.88671875" bestFit="1" customWidth="1"/>
    <col min="2" max="2" width="9.44140625" customWidth="1"/>
    <col min="3" max="3" width="10.33203125" customWidth="1"/>
    <col min="4" max="4" width="8.33203125" customWidth="1"/>
    <col min="5" max="5" width="10" bestFit="1" customWidth="1"/>
    <col min="6" max="9" width="12" bestFit="1" customWidth="1"/>
    <col min="10" max="10" width="12.109375" customWidth="1"/>
    <col min="11" max="13" width="12" bestFit="1" customWidth="1"/>
  </cols>
  <sheetData>
    <row r="1" spans="1:13" s="8" customFormat="1" x14ac:dyDescent="0.3">
      <c r="A1" s="8" t="s">
        <v>1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</row>
    <row r="2" spans="1:13" x14ac:dyDescent="0.3">
      <c r="A2" t="s">
        <v>4</v>
      </c>
      <c r="B2" s="3">
        <f>Assumptions!$C$2</f>
        <v>1000</v>
      </c>
      <c r="C2" s="3">
        <f t="shared" ref="C2:M2" si="0">B$5</f>
        <v>1020</v>
      </c>
      <c r="D2" s="3">
        <f t="shared" si="0"/>
        <v>1040.4000000000001</v>
      </c>
      <c r="E2" s="3">
        <f t="shared" si="0"/>
        <v>1061.2080000000001</v>
      </c>
      <c r="F2" s="3">
        <f t="shared" si="0"/>
        <v>1082.4321600000001</v>
      </c>
      <c r="G2" s="3">
        <f t="shared" si="0"/>
        <v>1104.0808032</v>
      </c>
      <c r="H2" s="3">
        <f t="shared" si="0"/>
        <v>1126.1624192639999</v>
      </c>
      <c r="I2" s="3">
        <f t="shared" si="0"/>
        <v>1148.68566764928</v>
      </c>
      <c r="J2" s="3">
        <f t="shared" si="0"/>
        <v>1171.6593810022655</v>
      </c>
      <c r="K2" s="3">
        <f t="shared" si="0"/>
        <v>1195.0925686223106</v>
      </c>
      <c r="L2" s="3">
        <f t="shared" si="0"/>
        <v>1218.994419994757</v>
      </c>
      <c r="M2" s="3">
        <f t="shared" si="0"/>
        <v>1243.374308394652</v>
      </c>
    </row>
    <row r="3" spans="1:13" x14ac:dyDescent="0.3">
      <c r="A3" t="s">
        <v>28</v>
      </c>
      <c r="B3">
        <f>B2*Assumptions!$C$3</f>
        <v>50</v>
      </c>
      <c r="C3">
        <f>C2*Assumptions!$C$3</f>
        <v>51</v>
      </c>
      <c r="D3">
        <f>D2*Assumptions!$C$3</f>
        <v>52.02000000000001</v>
      </c>
      <c r="E3">
        <f>E2*Assumptions!$C$3</f>
        <v>53.060400000000008</v>
      </c>
      <c r="F3">
        <f>F2*Assumptions!$C$3</f>
        <v>54.121608000000009</v>
      </c>
      <c r="G3">
        <f>G2*Assumptions!$C$3</f>
        <v>55.204040160000005</v>
      </c>
      <c r="H3">
        <f>H2*Assumptions!$C$3</f>
        <v>56.308120963199997</v>
      </c>
      <c r="I3">
        <f>I2*Assumptions!$C$3</f>
        <v>57.434283382464002</v>
      </c>
      <c r="J3">
        <f>J2*Assumptions!$C$3</f>
        <v>58.582969050113277</v>
      </c>
      <c r="K3">
        <f>K2*Assumptions!$C$3</f>
        <v>59.754628431115535</v>
      </c>
      <c r="L3">
        <f>L2*Assumptions!$C$3</f>
        <v>60.949720999737849</v>
      </c>
      <c r="M3">
        <f>M2*Assumptions!$C$3</f>
        <v>62.1687154197326</v>
      </c>
    </row>
    <row r="4" spans="1:13" x14ac:dyDescent="0.3">
      <c r="A4" t="s">
        <v>29</v>
      </c>
      <c r="B4">
        <f>B2*Assumptions!$C$4</f>
        <v>30</v>
      </c>
      <c r="C4">
        <f>C2*Assumptions!$C$4</f>
        <v>30.599999999999998</v>
      </c>
      <c r="D4">
        <f>D2*Assumptions!$C$4</f>
        <v>31.212000000000003</v>
      </c>
      <c r="E4">
        <f>E2*Assumptions!$C$4</f>
        <v>31.83624</v>
      </c>
      <c r="F4">
        <f>F2*Assumptions!$C$4</f>
        <v>32.4729648</v>
      </c>
      <c r="G4">
        <f>G2*Assumptions!$C$4</f>
        <v>33.122424095999996</v>
      </c>
      <c r="H4">
        <f>H2*Assumptions!$C$4</f>
        <v>33.784872577919998</v>
      </c>
      <c r="I4">
        <f>I2*Assumptions!$C$4</f>
        <v>34.460570029478397</v>
      </c>
      <c r="J4">
        <f>J2*Assumptions!$C$4</f>
        <v>35.149781430067961</v>
      </c>
      <c r="K4">
        <f>K2*Assumptions!$C$4</f>
        <v>35.852777058669318</v>
      </c>
      <c r="L4">
        <f>L2*Assumptions!$C$4</f>
        <v>36.569832599842705</v>
      </c>
      <c r="M4">
        <f>M2*Assumptions!$C$4</f>
        <v>37.301229251839558</v>
      </c>
    </row>
    <row r="5" spans="1:13" x14ac:dyDescent="0.3">
      <c r="A5" t="s">
        <v>30</v>
      </c>
      <c r="B5" s="3">
        <f t="shared" ref="B5:M5" si="1">B$2+B$3-B$4</f>
        <v>1020</v>
      </c>
      <c r="C5" s="3">
        <f t="shared" si="1"/>
        <v>1040.4000000000001</v>
      </c>
      <c r="D5" s="3">
        <f t="shared" si="1"/>
        <v>1061.2080000000001</v>
      </c>
      <c r="E5" s="3">
        <f t="shared" si="1"/>
        <v>1082.4321600000001</v>
      </c>
      <c r="F5" s="3">
        <f t="shared" si="1"/>
        <v>1104.0808032</v>
      </c>
      <c r="G5" s="3">
        <f t="shared" si="1"/>
        <v>1126.1624192639999</v>
      </c>
      <c r="H5" s="3">
        <f t="shared" si="1"/>
        <v>1148.68566764928</v>
      </c>
      <c r="I5" s="3">
        <f t="shared" si="1"/>
        <v>1171.6593810022655</v>
      </c>
      <c r="J5" s="3">
        <f t="shared" si="1"/>
        <v>1195.0925686223106</v>
      </c>
      <c r="K5" s="3">
        <f t="shared" si="1"/>
        <v>1218.994419994757</v>
      </c>
      <c r="L5" s="3">
        <f t="shared" si="1"/>
        <v>1243.374308394652</v>
      </c>
      <c r="M5" s="3">
        <f t="shared" si="1"/>
        <v>1268.241794562545</v>
      </c>
    </row>
    <row r="6" spans="1:13" x14ac:dyDescent="0.3">
      <c r="A6" t="s">
        <v>32</v>
      </c>
      <c r="B6">
        <f>Assumptions!$C$5</f>
        <v>50</v>
      </c>
      <c r="C6">
        <f>Assumptions!$C$5</f>
        <v>50</v>
      </c>
      <c r="D6">
        <f>Assumptions!$C$5</f>
        <v>50</v>
      </c>
      <c r="E6">
        <f>Assumptions!$C$5</f>
        <v>50</v>
      </c>
      <c r="F6">
        <f>Assumptions!$C$5</f>
        <v>50</v>
      </c>
      <c r="G6">
        <f>Assumptions!$C$5</f>
        <v>50</v>
      </c>
      <c r="H6">
        <f>Assumptions!$C$5</f>
        <v>50</v>
      </c>
      <c r="I6">
        <f>Assumptions!$C$5</f>
        <v>50</v>
      </c>
      <c r="J6">
        <f>Assumptions!$C$5</f>
        <v>50</v>
      </c>
      <c r="K6">
        <f>Assumptions!$C$5</f>
        <v>50</v>
      </c>
      <c r="L6">
        <f>Assumptions!$C$5</f>
        <v>50</v>
      </c>
      <c r="M6">
        <f>Assumptions!$C$5</f>
        <v>50</v>
      </c>
    </row>
    <row r="7" spans="1:13" x14ac:dyDescent="0.3">
      <c r="A7" t="s">
        <v>31</v>
      </c>
      <c r="B7">
        <f>B$5*B$6</f>
        <v>51000</v>
      </c>
      <c r="C7">
        <f t="shared" ref="C7:M7" si="2">C$5*C$6</f>
        <v>52020.000000000007</v>
      </c>
      <c r="D7">
        <f t="shared" si="2"/>
        <v>53060.4</v>
      </c>
      <c r="E7">
        <f t="shared" si="2"/>
        <v>54121.608</v>
      </c>
      <c r="F7">
        <f t="shared" si="2"/>
        <v>55204.040159999997</v>
      </c>
      <c r="G7">
        <f t="shared" si="2"/>
        <v>56308.120963199995</v>
      </c>
      <c r="H7">
        <f t="shared" si="2"/>
        <v>57434.283382464004</v>
      </c>
      <c r="I7">
        <f t="shared" si="2"/>
        <v>58582.969050113272</v>
      </c>
      <c r="J7">
        <f t="shared" si="2"/>
        <v>59754.628431115532</v>
      </c>
      <c r="K7">
        <f t="shared" si="2"/>
        <v>60949.720999737852</v>
      </c>
      <c r="L7">
        <f t="shared" si="2"/>
        <v>62168.715419732602</v>
      </c>
      <c r="M7">
        <f t="shared" si="2"/>
        <v>63412.089728127248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9EB7-85C9-463C-8BDF-B8DB66CC054E}">
  <sheetPr>
    <tabColor theme="9" tint="0.39997558519241921"/>
  </sheetPr>
  <dimension ref="A1:M5"/>
  <sheetViews>
    <sheetView workbookViewId="0">
      <selection activeCell="A9" sqref="A9"/>
    </sheetView>
  </sheetViews>
  <sheetFormatPr defaultRowHeight="14.4" x14ac:dyDescent="0.3"/>
  <cols>
    <col min="1" max="1" width="30.33203125" bestFit="1" customWidth="1"/>
    <col min="2" max="2" width="9.44140625" customWidth="1"/>
    <col min="3" max="3" width="10.33203125" customWidth="1"/>
    <col min="4" max="4" width="8.33203125" customWidth="1"/>
    <col min="5" max="5" width="10" bestFit="1" customWidth="1"/>
    <col min="6" max="9" width="12" bestFit="1" customWidth="1"/>
    <col min="10" max="10" width="12.109375" customWidth="1"/>
    <col min="11" max="11" width="10" bestFit="1" customWidth="1"/>
    <col min="12" max="13" width="12" bestFit="1" customWidth="1"/>
  </cols>
  <sheetData>
    <row r="1" spans="1:13" x14ac:dyDescent="0.3">
      <c r="A1" s="8" t="s">
        <v>1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</row>
    <row r="2" spans="1:13" x14ac:dyDescent="0.3">
      <c r="A2" t="s">
        <v>33</v>
      </c>
      <c r="B2">
        <f>'Revenue Model'!B$7</f>
        <v>51000</v>
      </c>
      <c r="C2">
        <f>'Revenue Model'!C$7</f>
        <v>52020.000000000007</v>
      </c>
      <c r="D2">
        <f>'Revenue Model'!D$7</f>
        <v>53060.4</v>
      </c>
      <c r="E2">
        <f>'Revenue Model'!E$7</f>
        <v>54121.608</v>
      </c>
      <c r="F2">
        <f>'Revenue Model'!F$7</f>
        <v>55204.040159999997</v>
      </c>
      <c r="G2">
        <f>'Revenue Model'!G$7</f>
        <v>56308.120963199995</v>
      </c>
      <c r="H2">
        <f>'Revenue Model'!H$7</f>
        <v>57434.283382464004</v>
      </c>
      <c r="I2">
        <f>'Revenue Model'!I$7</f>
        <v>58582.969050113272</v>
      </c>
      <c r="J2">
        <f>'Revenue Model'!J$7</f>
        <v>59754.628431115532</v>
      </c>
      <c r="K2">
        <f>'Revenue Model'!K$7</f>
        <v>60949.720999737852</v>
      </c>
      <c r="L2">
        <f>'Revenue Model'!L$7</f>
        <v>62168.715419732602</v>
      </c>
      <c r="M2">
        <f>'Revenue Model'!M$7</f>
        <v>63412.089728127248</v>
      </c>
    </row>
    <row r="3" spans="1:13" x14ac:dyDescent="0.3">
      <c r="A3" t="s">
        <v>34</v>
      </c>
      <c r="B3">
        <f>B2*Assumptions!$C$6</f>
        <v>10200</v>
      </c>
      <c r="C3">
        <f>C2*Assumptions!$C$6</f>
        <v>10404.000000000002</v>
      </c>
      <c r="D3">
        <f>D2*Assumptions!$C$6</f>
        <v>10612.080000000002</v>
      </c>
      <c r="E3">
        <f>E2*Assumptions!$C$6</f>
        <v>10824.321600000001</v>
      </c>
      <c r="F3">
        <f>F2*Assumptions!$C$6</f>
        <v>11040.808032000001</v>
      </c>
      <c r="G3">
        <f>G2*Assumptions!$C$6</f>
        <v>11261.62419264</v>
      </c>
      <c r="H3">
        <f>H2*Assumptions!$C$6</f>
        <v>11486.856676492802</v>
      </c>
      <c r="I3">
        <f>I2*Assumptions!$C$6</f>
        <v>11716.593810022656</v>
      </c>
      <c r="J3">
        <f>J2*Assumptions!$C$6</f>
        <v>11950.925686223107</v>
      </c>
      <c r="K3">
        <f>K2*Assumptions!$C$6</f>
        <v>12189.944199947571</v>
      </c>
      <c r="L3">
        <f>L2*Assumptions!$C$6</f>
        <v>12433.743083946521</v>
      </c>
      <c r="M3">
        <f>M2*Assumptions!$C$6</f>
        <v>12682.41794562545</v>
      </c>
    </row>
    <row r="4" spans="1:13" x14ac:dyDescent="0.3">
      <c r="A4" t="s">
        <v>36</v>
      </c>
      <c r="B4">
        <f>'Revenue Model'!B$3 * Assumptions!$C$8</f>
        <v>5000</v>
      </c>
      <c r="C4">
        <f>'Revenue Model'!C$3 * Assumptions!$C$8</f>
        <v>5100</v>
      </c>
      <c r="D4">
        <f>'Revenue Model'!D$3 * Assumptions!$C$8</f>
        <v>5202.0000000000009</v>
      </c>
      <c r="E4">
        <f>'Revenue Model'!E$3 * Assumptions!$C$8</f>
        <v>5306.0400000000009</v>
      </c>
      <c r="F4">
        <f>'Revenue Model'!F$3 * Assumptions!$C$8</f>
        <v>5412.1608000000006</v>
      </c>
      <c r="G4">
        <f>'Revenue Model'!G$3 * Assumptions!$C$8</f>
        <v>5520.4040160000004</v>
      </c>
      <c r="H4">
        <f>'Revenue Model'!H$3 * Assumptions!$C$8</f>
        <v>5630.8120963199999</v>
      </c>
      <c r="I4">
        <f>'Revenue Model'!I$3 * Assumptions!$C$8</f>
        <v>5743.4283382464</v>
      </c>
      <c r="J4">
        <f>'Revenue Model'!J$3 * Assumptions!$C$8</f>
        <v>5858.2969050113279</v>
      </c>
      <c r="K4">
        <f>'Revenue Model'!K$3 * Assumptions!$C$8</f>
        <v>5975.4628431115534</v>
      </c>
      <c r="L4">
        <f>'Revenue Model'!L$3 * Assumptions!$C$8</f>
        <v>6094.9720999737847</v>
      </c>
      <c r="M4">
        <f>'Revenue Model'!M$3 * Assumptions!$C$8</f>
        <v>6216.8715419732598</v>
      </c>
    </row>
    <row r="5" spans="1:13" x14ac:dyDescent="0.3">
      <c r="A5" t="s">
        <v>35</v>
      </c>
      <c r="B5" s="3">
        <f>B3+B4+Assumptions!$C$7</f>
        <v>45200</v>
      </c>
      <c r="C5" s="3">
        <f>C3+C4+Assumptions!$C$7</f>
        <v>45504</v>
      </c>
      <c r="D5" s="3">
        <f>D3+D4+Assumptions!$C$7</f>
        <v>45814.080000000002</v>
      </c>
      <c r="E5" s="3">
        <f>E3+E4+Assumptions!$C$7</f>
        <v>46130.361600000004</v>
      </c>
      <c r="F5" s="3">
        <f>F3+F4+Assumptions!$C$7</f>
        <v>46452.968831999999</v>
      </c>
      <c r="G5" s="3">
        <f>G3+G4+Assumptions!$C$7</f>
        <v>46782.028208639997</v>
      </c>
      <c r="H5" s="3">
        <f>H3+H4+Assumptions!$C$7</f>
        <v>47117.668772812802</v>
      </c>
      <c r="I5" s="3">
        <f>I3+I4+Assumptions!$C$7</f>
        <v>47460.022148269054</v>
      </c>
      <c r="J5" s="3">
        <f>J3+J4+Assumptions!$C$7</f>
        <v>47809.222591234437</v>
      </c>
      <c r="K5" s="3">
        <f>K3+K4+Assumptions!$C$7</f>
        <v>48165.407043059124</v>
      </c>
      <c r="L5" s="3">
        <f>L3+L4+Assumptions!$C$7</f>
        <v>48528.715183920307</v>
      </c>
      <c r="M5" s="3">
        <f>M3+M4+Assumptions!$C$7</f>
        <v>48899.289487598711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80B7-3459-4A5C-BC80-7A717ECDB9F8}">
  <sheetPr>
    <tabColor theme="2" tint="-0.749992370372631"/>
  </sheetPr>
  <dimension ref="A1:M7"/>
  <sheetViews>
    <sheetView workbookViewId="0">
      <selection activeCell="A2" sqref="A2"/>
    </sheetView>
  </sheetViews>
  <sheetFormatPr defaultRowHeight="14.4" x14ac:dyDescent="0.3"/>
  <cols>
    <col min="1" max="1" width="30.33203125" bestFit="1" customWidth="1"/>
    <col min="2" max="2" width="9.44140625" customWidth="1"/>
    <col min="3" max="3" width="10.33203125" customWidth="1"/>
    <col min="4" max="4" width="8.33203125" customWidth="1"/>
    <col min="5" max="5" width="10" bestFit="1" customWidth="1"/>
    <col min="6" max="9" width="12" bestFit="1" customWidth="1"/>
    <col min="10" max="10" width="12.109375" customWidth="1"/>
    <col min="11" max="11" width="10" bestFit="1" customWidth="1"/>
    <col min="12" max="13" width="12" bestFit="1" customWidth="1"/>
  </cols>
  <sheetData>
    <row r="1" spans="1:13" x14ac:dyDescent="0.3">
      <c r="A1" s="8" t="s">
        <v>1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</row>
    <row r="2" spans="1:13" x14ac:dyDescent="0.3">
      <c r="A2" t="s">
        <v>33</v>
      </c>
      <c r="B2">
        <f>'Revenue Model'!B$7</f>
        <v>51000</v>
      </c>
      <c r="C2">
        <f>'Revenue Model'!C$7</f>
        <v>52020.000000000007</v>
      </c>
      <c r="D2">
        <f>'Revenue Model'!D$7</f>
        <v>53060.4</v>
      </c>
      <c r="E2">
        <f>'Revenue Model'!E$7</f>
        <v>54121.608</v>
      </c>
      <c r="F2">
        <f>'Revenue Model'!F$7</f>
        <v>55204.040159999997</v>
      </c>
      <c r="G2">
        <f>'Revenue Model'!G$7</f>
        <v>56308.120963199995</v>
      </c>
      <c r="H2">
        <f>'Revenue Model'!H$7</f>
        <v>57434.283382464004</v>
      </c>
      <c r="I2">
        <f>'Revenue Model'!I$7</f>
        <v>58582.969050113272</v>
      </c>
      <c r="J2">
        <f>'Revenue Model'!J$7</f>
        <v>59754.628431115532</v>
      </c>
      <c r="K2">
        <f>'Revenue Model'!K$7</f>
        <v>60949.720999737852</v>
      </c>
      <c r="L2">
        <f>'Revenue Model'!L$7</f>
        <v>62168.715419732602</v>
      </c>
      <c r="M2">
        <f>'Revenue Model'!M$7</f>
        <v>63412.089728127248</v>
      </c>
    </row>
    <row r="3" spans="1:13" x14ac:dyDescent="0.3">
      <c r="A3" t="s">
        <v>34</v>
      </c>
      <c r="B3">
        <f>'Cost Model'!B$3</f>
        <v>10200</v>
      </c>
      <c r="C3">
        <f>'Cost Model'!C$3</f>
        <v>10404.000000000002</v>
      </c>
      <c r="D3">
        <f>'Cost Model'!D$3</f>
        <v>10612.080000000002</v>
      </c>
      <c r="E3">
        <f>'Cost Model'!E$3</f>
        <v>10824.321600000001</v>
      </c>
      <c r="F3">
        <f>'Cost Model'!F$3</f>
        <v>11040.808032000001</v>
      </c>
      <c r="G3">
        <f>'Cost Model'!G$3</f>
        <v>11261.62419264</v>
      </c>
      <c r="H3">
        <f>'Cost Model'!H$3</f>
        <v>11486.856676492802</v>
      </c>
      <c r="I3">
        <f>'Cost Model'!I$3</f>
        <v>11716.593810022656</v>
      </c>
      <c r="J3">
        <f>'Cost Model'!J$3</f>
        <v>11950.925686223107</v>
      </c>
      <c r="K3">
        <f>'Cost Model'!K$3</f>
        <v>12189.944199947571</v>
      </c>
      <c r="L3">
        <f>'Cost Model'!L$3</f>
        <v>12433.743083946521</v>
      </c>
      <c r="M3">
        <f>'Cost Model'!M$3</f>
        <v>12682.41794562545</v>
      </c>
    </row>
    <row r="4" spans="1:13" x14ac:dyDescent="0.3">
      <c r="A4" t="s">
        <v>37</v>
      </c>
      <c r="B4">
        <f>B$2-B$3</f>
        <v>40800</v>
      </c>
      <c r="C4">
        <f t="shared" ref="C4:M4" si="0">C$2-C$3</f>
        <v>41616.000000000007</v>
      </c>
      <c r="D4">
        <f t="shared" si="0"/>
        <v>42448.32</v>
      </c>
      <c r="E4">
        <f t="shared" si="0"/>
        <v>43297.286399999997</v>
      </c>
      <c r="F4">
        <f t="shared" si="0"/>
        <v>44163.232127999996</v>
      </c>
      <c r="G4">
        <f t="shared" si="0"/>
        <v>45046.496770559999</v>
      </c>
      <c r="H4">
        <f t="shared" si="0"/>
        <v>45947.4267059712</v>
      </c>
      <c r="I4">
        <f t="shared" si="0"/>
        <v>46866.375240090616</v>
      </c>
      <c r="J4">
        <f t="shared" si="0"/>
        <v>47803.702744892427</v>
      </c>
      <c r="K4">
        <f t="shared" si="0"/>
        <v>48759.776799790285</v>
      </c>
      <c r="L4">
        <f t="shared" si="0"/>
        <v>49734.972335786078</v>
      </c>
      <c r="M4">
        <f t="shared" si="0"/>
        <v>50729.671782501799</v>
      </c>
    </row>
    <row r="5" spans="1:13" x14ac:dyDescent="0.3">
      <c r="A5" t="s">
        <v>36</v>
      </c>
      <c r="B5">
        <f>'Cost Model'!B$4</f>
        <v>5000</v>
      </c>
      <c r="C5">
        <f>'Cost Model'!C$4</f>
        <v>5100</v>
      </c>
      <c r="D5">
        <f>'Cost Model'!D$4</f>
        <v>5202.0000000000009</v>
      </c>
      <c r="E5">
        <f>'Cost Model'!E$4</f>
        <v>5306.0400000000009</v>
      </c>
      <c r="F5">
        <f>'Cost Model'!F$4</f>
        <v>5412.1608000000006</v>
      </c>
      <c r="G5">
        <f>'Cost Model'!G$4</f>
        <v>5520.4040160000004</v>
      </c>
      <c r="H5">
        <f>'Cost Model'!H$4</f>
        <v>5630.8120963199999</v>
      </c>
      <c r="I5">
        <f>'Cost Model'!I$4</f>
        <v>5743.4283382464</v>
      </c>
      <c r="J5">
        <f>'Cost Model'!J$4</f>
        <v>5858.2969050113279</v>
      </c>
      <c r="K5">
        <f>'Cost Model'!K$4</f>
        <v>5975.4628431115534</v>
      </c>
      <c r="L5">
        <f>'Cost Model'!L$4</f>
        <v>6094.9720999737847</v>
      </c>
      <c r="M5">
        <f>'Cost Model'!M$4</f>
        <v>6216.8715419732598</v>
      </c>
    </row>
    <row r="6" spans="1:13" x14ac:dyDescent="0.3">
      <c r="A6" t="s">
        <v>38</v>
      </c>
      <c r="B6" s="3">
        <f>Assumptions!$C$7</f>
        <v>30000</v>
      </c>
      <c r="C6" s="3">
        <f>Assumptions!$C$7</f>
        <v>30000</v>
      </c>
      <c r="D6" s="3">
        <f>Assumptions!$C$7</f>
        <v>30000</v>
      </c>
      <c r="E6" s="3">
        <f>Assumptions!$C$7</f>
        <v>30000</v>
      </c>
      <c r="F6" s="3">
        <f>Assumptions!$C$7</f>
        <v>30000</v>
      </c>
      <c r="G6" s="3">
        <f>Assumptions!$C$7</f>
        <v>30000</v>
      </c>
      <c r="H6" s="3">
        <f>Assumptions!$C$7</f>
        <v>30000</v>
      </c>
      <c r="I6" s="3">
        <f>Assumptions!$C$7</f>
        <v>30000</v>
      </c>
      <c r="J6" s="3">
        <f>Assumptions!$C$7</f>
        <v>30000</v>
      </c>
      <c r="K6" s="3">
        <f>Assumptions!$C$7</f>
        <v>30000</v>
      </c>
      <c r="L6" s="3">
        <f>Assumptions!$C$7</f>
        <v>30000</v>
      </c>
      <c r="M6" s="3">
        <f>Assumptions!$C$7</f>
        <v>30000</v>
      </c>
    </row>
    <row r="7" spans="1:13" x14ac:dyDescent="0.3">
      <c r="A7" t="s">
        <v>39</v>
      </c>
      <c r="B7" s="3">
        <f>B4-B5-B6</f>
        <v>5800</v>
      </c>
      <c r="C7" s="3">
        <f t="shared" ref="C7:M7" si="1">C4-C5-C6</f>
        <v>6516.0000000000073</v>
      </c>
      <c r="D7" s="3">
        <f t="shared" si="1"/>
        <v>7246.32</v>
      </c>
      <c r="E7" s="3">
        <f t="shared" si="1"/>
        <v>7991.2463999999964</v>
      </c>
      <c r="F7" s="3">
        <f t="shared" si="1"/>
        <v>8751.0713279999982</v>
      </c>
      <c r="G7" s="3">
        <f t="shared" si="1"/>
        <v>9526.0927545599989</v>
      </c>
      <c r="H7" s="3">
        <f t="shared" si="1"/>
        <v>10316.614609651202</v>
      </c>
      <c r="I7" s="3">
        <f t="shared" si="1"/>
        <v>11122.946901844218</v>
      </c>
      <c r="J7" s="3">
        <f t="shared" si="1"/>
        <v>11945.405839881103</v>
      </c>
      <c r="K7" s="3">
        <f t="shared" si="1"/>
        <v>12784.313956678729</v>
      </c>
      <c r="L7" s="3">
        <f t="shared" si="1"/>
        <v>13640.000235812295</v>
      </c>
      <c r="M7" s="3">
        <f t="shared" si="1"/>
        <v>14512.800240528537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FFC9-C9DF-412E-9F4E-55AF17250A14}">
  <sheetPr>
    <tabColor theme="5" tint="0.59999389629810485"/>
  </sheetPr>
  <dimension ref="A1:M7"/>
  <sheetViews>
    <sheetView workbookViewId="0">
      <selection sqref="A1:M7"/>
    </sheetView>
  </sheetViews>
  <sheetFormatPr defaultRowHeight="14.4" x14ac:dyDescent="0.3"/>
  <cols>
    <col min="1" max="1" width="30.33203125" bestFit="1" customWidth="1"/>
    <col min="2" max="2" width="9.44140625" customWidth="1"/>
    <col min="3" max="3" width="10.33203125" customWidth="1"/>
    <col min="4" max="4" width="10" bestFit="1" customWidth="1"/>
    <col min="5" max="8" width="12" bestFit="1" customWidth="1"/>
    <col min="9" max="9" width="11" bestFit="1" customWidth="1"/>
    <col min="10" max="10" width="12.109375" customWidth="1"/>
    <col min="11" max="13" width="12" bestFit="1" customWidth="1"/>
  </cols>
  <sheetData>
    <row r="1" spans="1:13" x14ac:dyDescent="0.3">
      <c r="A1" s="8" t="s">
        <v>1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</row>
    <row r="2" spans="1:13" x14ac:dyDescent="0.3">
      <c r="A2" t="s">
        <v>33</v>
      </c>
      <c r="B2">
        <f>'Forecast (P&amp;L)'!B2 * (1 - 3%)</f>
        <v>49470</v>
      </c>
      <c r="C2">
        <f>'Forecast (P&amp;L)'!C2 * (1 - 3%)</f>
        <v>50459.400000000009</v>
      </c>
      <c r="D2">
        <f>'Forecast (P&amp;L)'!D2 * (1 - 3%)</f>
        <v>51468.588000000003</v>
      </c>
      <c r="E2">
        <f>'Forecast (P&amp;L)'!E2 * (1 - 3%)</f>
        <v>52497.959759999998</v>
      </c>
      <c r="F2">
        <f>'Forecast (P&amp;L)'!F2 * (1 - 3%)</f>
        <v>53547.918955199995</v>
      </c>
      <c r="G2">
        <f>'Forecast (P&amp;L)'!G2 * (1 + 5%)</f>
        <v>59123.527011359998</v>
      </c>
      <c r="H2">
        <f>'Forecast (P&amp;L)'!H2 * (1 + 5%)</f>
        <v>60305.997551587207</v>
      </c>
      <c r="I2">
        <f>'Forecast (P&amp;L)'!I2 * (1 + 5%)</f>
        <v>61512.117502618938</v>
      </c>
      <c r="J2">
        <f>'Forecast (P&amp;L)'!J2 * (1 + 5%)</f>
        <v>62742.35985267131</v>
      </c>
      <c r="K2">
        <f>'Forecast (P&amp;L)'!K2 * (1 + 3%)</f>
        <v>62778.212629729991</v>
      </c>
      <c r="L2">
        <f>'Forecast (P&amp;L)'!L2 * (1 + 3%)</f>
        <v>64033.776882324579</v>
      </c>
      <c r="M2">
        <f>'Forecast (P&amp;L)'!M2 * (1 + 3%)</f>
        <v>65314.452419971065</v>
      </c>
    </row>
    <row r="3" spans="1:13" x14ac:dyDescent="0.3">
      <c r="A3" t="s">
        <v>34</v>
      </c>
      <c r="B3">
        <f>'Forecast (P&amp;L)'!B$3 * (1+1%)</f>
        <v>10302</v>
      </c>
      <c r="C3">
        <f>'Forecast (P&amp;L)'!C$3 * (1+1%)</f>
        <v>10508.040000000003</v>
      </c>
      <c r="D3">
        <f>'Forecast (P&amp;L)'!D$3 * (1+1%)</f>
        <v>10718.200800000002</v>
      </c>
      <c r="E3">
        <f>'Forecast (P&amp;L)'!E$3 * (1+1%)</f>
        <v>10932.564816000002</v>
      </c>
      <c r="F3">
        <f>'Forecast (P&amp;L)'!F$3 * (1+2%)</f>
        <v>11261.624192640002</v>
      </c>
      <c r="G3">
        <f>'Forecast (P&amp;L)'!G$3 * (1+2%)</f>
        <v>11486.8566764928</v>
      </c>
      <c r="H3">
        <f>'Forecast (P&amp;L)'!H$3 * (1+2%)</f>
        <v>11716.593810022658</v>
      </c>
      <c r="I3">
        <f>'Forecast (P&amp;L)'!I$3 * (1+2%)</f>
        <v>11950.925686223109</v>
      </c>
      <c r="J3">
        <f>'Forecast (P&amp;L)'!J$3 * (1+3%)</f>
        <v>12309.453456809801</v>
      </c>
      <c r="K3">
        <f>'Forecast (P&amp;L)'!K$3 * (1+3%)</f>
        <v>12555.642525945999</v>
      </c>
      <c r="L3">
        <f>'Forecast (P&amp;L)'!L$3 * (1+3%)</f>
        <v>12806.755376464918</v>
      </c>
      <c r="M3">
        <f>'Forecast (P&amp;L)'!M$3 * (1+3%)</f>
        <v>13062.890483994213</v>
      </c>
    </row>
    <row r="4" spans="1:13" x14ac:dyDescent="0.3">
      <c r="A4" t="s">
        <v>37</v>
      </c>
      <c r="B4">
        <f>B$2-B$3</f>
        <v>39168</v>
      </c>
      <c r="C4">
        <f t="shared" ref="C4:M4" si="0">C$2-C$3</f>
        <v>39951.360000000008</v>
      </c>
      <c r="D4">
        <f t="shared" si="0"/>
        <v>40750.387199999997</v>
      </c>
      <c r="E4">
        <f t="shared" si="0"/>
        <v>41565.394944</v>
      </c>
      <c r="F4">
        <f t="shared" si="0"/>
        <v>42286.294762559992</v>
      </c>
      <c r="G4">
        <f t="shared" si="0"/>
        <v>47636.670334867202</v>
      </c>
      <c r="H4">
        <f t="shared" si="0"/>
        <v>48589.403741564551</v>
      </c>
      <c r="I4">
        <f t="shared" si="0"/>
        <v>49561.191816395833</v>
      </c>
      <c r="J4">
        <f t="shared" si="0"/>
        <v>50432.906395861508</v>
      </c>
      <c r="K4">
        <f t="shared" si="0"/>
        <v>50222.57010378399</v>
      </c>
      <c r="L4">
        <f t="shared" si="0"/>
        <v>51227.021505859659</v>
      </c>
      <c r="M4">
        <f t="shared" si="0"/>
        <v>52251.561935976853</v>
      </c>
    </row>
    <row r="5" spans="1:13" x14ac:dyDescent="0.3">
      <c r="A5" t="s">
        <v>36</v>
      </c>
      <c r="B5">
        <f>'Forecast (P&amp;L)'!B$5</f>
        <v>5000</v>
      </c>
      <c r="C5">
        <f>'Forecast (P&amp;L)'!C$5</f>
        <v>5100</v>
      </c>
      <c r="D5">
        <f>'Forecast (P&amp;L)'!D$5</f>
        <v>5202.0000000000009</v>
      </c>
      <c r="E5">
        <f>'Forecast (P&amp;L)'!E$5</f>
        <v>5306.0400000000009</v>
      </c>
      <c r="F5">
        <f>'Forecast (P&amp;L)'!F$5</f>
        <v>5412.1608000000006</v>
      </c>
      <c r="G5">
        <f>'Forecast (P&amp;L)'!G$5 * (1+0.5%)</f>
        <v>5548.0060360799998</v>
      </c>
      <c r="H5">
        <f>'Forecast (P&amp;L)'!H$5 * (1+0.5%)</f>
        <v>5658.966156801599</v>
      </c>
      <c r="I5">
        <f>'Forecast (P&amp;L)'!I$5 * (1+0.5%)</f>
        <v>5772.1454799376315</v>
      </c>
      <c r="J5">
        <f>'Forecast (P&amp;L)'!J$5 * (1+0.5%)</f>
        <v>5887.5883895363841</v>
      </c>
      <c r="K5">
        <f>'Forecast (P&amp;L)'!K$5 * (1+0.75%)</f>
        <v>6020.2788144348906</v>
      </c>
      <c r="L5">
        <f>'Forecast (P&amp;L)'!L$5 * (1+0.75%)</f>
        <v>6140.6843907235889</v>
      </c>
      <c r="M5">
        <f>'Forecast (P&amp;L)'!M$5 * (1+0.75%)</f>
        <v>6263.4980785380594</v>
      </c>
    </row>
    <row r="6" spans="1:13" x14ac:dyDescent="0.3">
      <c r="A6" t="s">
        <v>38</v>
      </c>
      <c r="B6" s="3">
        <f>'Forecast (P&amp;L)'!B$6</f>
        <v>30000</v>
      </c>
      <c r="C6" s="3">
        <f>'Forecast (P&amp;L)'!C$6</f>
        <v>30000</v>
      </c>
      <c r="D6" s="3">
        <f>'Forecast (P&amp;L)'!D$6</f>
        <v>30000</v>
      </c>
      <c r="E6" s="3">
        <f>'Forecast (P&amp;L)'!E$6</f>
        <v>30000</v>
      </c>
      <c r="F6" s="3">
        <f>'Forecast (P&amp;L)'!F$6</f>
        <v>30000</v>
      </c>
      <c r="G6" s="3">
        <f>'Forecast (P&amp;L)'!G$6</f>
        <v>30000</v>
      </c>
      <c r="H6" s="3">
        <f>'Forecast (P&amp;L)'!H$6 * (1+6%)</f>
        <v>31800</v>
      </c>
      <c r="I6" s="3">
        <f>'Forecast (P&amp;L)'!I$6 * (1+6%)</f>
        <v>31800</v>
      </c>
      <c r="J6" s="3">
        <f>'Forecast (P&amp;L)'!J$6 * (1+6%)</f>
        <v>31800</v>
      </c>
      <c r="K6" s="3">
        <f>'Forecast (P&amp;L)'!K$6 * (1+6%)</f>
        <v>31800</v>
      </c>
      <c r="L6" s="3">
        <f>'Forecast (P&amp;L)'!L$6 * (1+6%)</f>
        <v>31800</v>
      </c>
      <c r="M6" s="3">
        <f>'Forecast (P&amp;L)'!M$6 * (1+6%)</f>
        <v>31800</v>
      </c>
    </row>
    <row r="7" spans="1:13" x14ac:dyDescent="0.3">
      <c r="A7" t="s">
        <v>39</v>
      </c>
      <c r="B7" s="3">
        <f>B$4-B$5-B$6</f>
        <v>4168</v>
      </c>
      <c r="C7" s="3">
        <f t="shared" ref="C7:M7" si="1">C$4-C$5-C$6</f>
        <v>4851.3600000000079</v>
      </c>
      <c r="D7" s="3">
        <f t="shared" si="1"/>
        <v>5548.3871999999974</v>
      </c>
      <c r="E7" s="3">
        <f t="shared" si="1"/>
        <v>6259.3549439999988</v>
      </c>
      <c r="F7" s="3">
        <f t="shared" si="1"/>
        <v>6874.133962559994</v>
      </c>
      <c r="G7" s="3">
        <f t="shared" si="1"/>
        <v>12088.664298787204</v>
      </c>
      <c r="H7" s="3">
        <f t="shared" si="1"/>
        <v>11130.437584762949</v>
      </c>
      <c r="I7" s="3">
        <f t="shared" si="1"/>
        <v>11989.046336458203</v>
      </c>
      <c r="J7" s="3">
        <f t="shared" si="1"/>
        <v>12745.31800632512</v>
      </c>
      <c r="K7" s="3">
        <f t="shared" si="1"/>
        <v>12402.291289349101</v>
      </c>
      <c r="L7" s="3">
        <f t="shared" si="1"/>
        <v>13286.33711513607</v>
      </c>
      <c r="M7" s="3">
        <f t="shared" si="1"/>
        <v>14188.063857438792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CF50-2FE0-4530-B7E7-A7F7CE3D31DD}">
  <sheetPr>
    <tabColor rgb="FF7030A0"/>
  </sheetPr>
  <dimension ref="A1:M5"/>
  <sheetViews>
    <sheetView workbookViewId="0">
      <selection activeCell="F18" sqref="F18"/>
    </sheetView>
  </sheetViews>
  <sheetFormatPr defaultRowHeight="14.4" x14ac:dyDescent="0.3"/>
  <cols>
    <col min="1" max="1" width="18.77734375" bestFit="1" customWidth="1"/>
    <col min="2" max="2" width="9.44140625" customWidth="1"/>
    <col min="3" max="3" width="10.33203125" customWidth="1"/>
    <col min="4" max="4" width="9.6640625" bestFit="1" customWidth="1"/>
    <col min="5" max="5" width="11.6640625" bestFit="1" customWidth="1"/>
    <col min="6" max="6" width="12.6640625" bestFit="1" customWidth="1"/>
    <col min="7" max="9" width="12" bestFit="1" customWidth="1"/>
    <col min="10" max="10" width="12.109375" customWidth="1"/>
    <col min="11" max="11" width="11" bestFit="1" customWidth="1"/>
    <col min="12" max="13" width="12" bestFit="1" customWidth="1"/>
  </cols>
  <sheetData>
    <row r="1" spans="1:13" x14ac:dyDescent="0.3">
      <c r="A1" s="8" t="s">
        <v>1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</row>
    <row r="2" spans="1:13" x14ac:dyDescent="0.3">
      <c r="A2" t="s">
        <v>40</v>
      </c>
      <c r="B2">
        <f>Actuals!B$2-'Forecast (P&amp;L)'!B$2</f>
        <v>-1530</v>
      </c>
      <c r="C2">
        <f>Actuals!C$2-'Forecast (P&amp;L)'!C$2</f>
        <v>-1560.5999999999985</v>
      </c>
      <c r="D2">
        <f>Actuals!D$2-'Forecast (P&amp;L)'!D$2</f>
        <v>-1591.8119999999981</v>
      </c>
      <c r="E2">
        <f>Actuals!E$2-'Forecast (P&amp;L)'!E$2</f>
        <v>-1623.6482400000023</v>
      </c>
      <c r="F2">
        <f>Actuals!F$2-'Forecast (P&amp;L)'!F$2</f>
        <v>-1656.1212048000016</v>
      </c>
      <c r="G2">
        <f>Actuals!G$2-'Forecast (P&amp;L)'!G$2</f>
        <v>2815.4060481600027</v>
      </c>
      <c r="H2">
        <f>Actuals!H$2-'Forecast (P&amp;L)'!H$2</f>
        <v>2871.7141691232027</v>
      </c>
      <c r="I2">
        <f>Actuals!I$2-'Forecast (P&amp;L)'!I$2</f>
        <v>2929.1484525056658</v>
      </c>
      <c r="J2">
        <f>Actuals!J$2-'Forecast (P&amp;L)'!J$2</f>
        <v>2987.7314215557781</v>
      </c>
      <c r="K2">
        <f>Actuals!K$2-'Forecast (P&amp;L)'!K$2</f>
        <v>1828.4916299921388</v>
      </c>
      <c r="L2">
        <f>Actuals!L$2-'Forecast (P&amp;L)'!L$2</f>
        <v>1865.061462591977</v>
      </c>
      <c r="M2">
        <f>Actuals!M$2-'Forecast (P&amp;L)'!M$2</f>
        <v>1902.3626918438167</v>
      </c>
    </row>
    <row r="3" spans="1:13" x14ac:dyDescent="0.3">
      <c r="A3" t="s">
        <v>41</v>
      </c>
      <c r="B3">
        <f>B2/'Forecast (P&amp;L)'!B$2</f>
        <v>-0.03</v>
      </c>
      <c r="C3">
        <f>C2/'Forecast (P&amp;L)'!C$2</f>
        <v>-2.9999999999999968E-2</v>
      </c>
      <c r="D3">
        <f>D2/'Forecast (P&amp;L)'!D$2</f>
        <v>-2.9999999999999964E-2</v>
      </c>
      <c r="E3">
        <f>E2/'Forecast (P&amp;L)'!E$2</f>
        <v>-3.0000000000000041E-2</v>
      </c>
      <c r="F3">
        <f>F2/'Forecast (P&amp;L)'!F$2</f>
        <v>-3.000000000000003E-2</v>
      </c>
      <c r="G3">
        <f>G2/'Forecast (P&amp;L)'!G$2</f>
        <v>5.0000000000000051E-2</v>
      </c>
      <c r="H3">
        <f>H2/'Forecast (P&amp;L)'!H$2</f>
        <v>5.0000000000000044E-2</v>
      </c>
      <c r="I3">
        <f>I2/'Forecast (P&amp;L)'!I$2</f>
        <v>5.0000000000000037E-2</v>
      </c>
      <c r="J3">
        <f>J2/'Forecast (P&amp;L)'!J$2</f>
        <v>5.0000000000000024E-2</v>
      </c>
      <c r="K3">
        <f>K2/'Forecast (P&amp;L)'!K$2</f>
        <v>3.0000000000000051E-2</v>
      </c>
      <c r="L3">
        <f>L2/'Forecast (P&amp;L)'!L$2</f>
        <v>2.9999999999999985E-2</v>
      </c>
      <c r="M3">
        <f>M2/'Forecast (P&amp;L)'!M$2</f>
        <v>2.9999999999999988E-2</v>
      </c>
    </row>
    <row r="4" spans="1:13" x14ac:dyDescent="0.3">
      <c r="A4" t="s">
        <v>42</v>
      </c>
      <c r="B4" s="3">
        <f>Actuals!B$7-'Forecast (P&amp;L)'!B$7</f>
        <v>-1632</v>
      </c>
      <c r="C4" s="3">
        <f>Actuals!C$7-'Forecast (P&amp;L)'!C$7</f>
        <v>-1664.6399999999994</v>
      </c>
      <c r="D4" s="3">
        <f>Actuals!D$7-'Forecast (P&amp;L)'!D$7</f>
        <v>-1697.9328000000023</v>
      </c>
      <c r="E4" s="3">
        <f>Actuals!E$7-'Forecast (P&amp;L)'!E$7</f>
        <v>-1731.8914559999976</v>
      </c>
      <c r="F4" s="3">
        <f>Actuals!F$7-'Forecast (P&amp;L)'!F$7</f>
        <v>-1876.9373654400042</v>
      </c>
      <c r="G4" s="3">
        <f>Actuals!G$7-'Forecast (P&amp;L)'!G$7</f>
        <v>2562.5715442272049</v>
      </c>
      <c r="H4" s="3">
        <f>Actuals!H$7-'Forecast (P&amp;L)'!H$7</f>
        <v>813.82297511174693</v>
      </c>
      <c r="I4" s="3">
        <f>Actuals!I$7-'Forecast (P&amp;L)'!I$7</f>
        <v>866.09943461398507</v>
      </c>
      <c r="J4" s="3">
        <f>Actuals!J$7-'Forecast (P&amp;L)'!J$7</f>
        <v>799.9121664440172</v>
      </c>
      <c r="K4" s="3">
        <f>Actuals!K$7-'Forecast (P&amp;L)'!K$7</f>
        <v>-382.02266732962744</v>
      </c>
      <c r="L4" s="3">
        <f>Actuals!L$7-'Forecast (P&amp;L)'!L$7</f>
        <v>-353.66312067622493</v>
      </c>
      <c r="M4" s="3">
        <f>Actuals!M$7-'Forecast (P&amp;L)'!M$7</f>
        <v>-324.73638308974478</v>
      </c>
    </row>
    <row r="5" spans="1:13" x14ac:dyDescent="0.3">
      <c r="A5" t="s">
        <v>43</v>
      </c>
      <c r="B5">
        <f>B4/'Forecast (P&amp;L)'!B$7</f>
        <v>-0.2813793103448276</v>
      </c>
      <c r="C5">
        <f>C4/'Forecast (P&amp;L)'!C$7</f>
        <v>-0.25546961325966816</v>
      </c>
      <c r="D5">
        <f>D4/'Forecast (P&amp;L)'!D$7</f>
        <v>-0.23431656344185772</v>
      </c>
      <c r="E5">
        <f>E4/'Forecast (P&amp;L)'!E$7</f>
        <v>-0.21672357093131284</v>
      </c>
      <c r="F5">
        <f>F4/'Forecast (P&amp;L)'!F$7</f>
        <v>-0.21448086698077073</v>
      </c>
      <c r="G5">
        <f>G4/'Forecast (P&amp;L)'!G$7</f>
        <v>0.26900552096771679</v>
      </c>
      <c r="H5">
        <f>H4/'Forecast (P&amp;L)'!H$7</f>
        <v>7.8884692886600105E-2</v>
      </c>
      <c r="I5">
        <f>I4/'Forecast (P&amp;L)'!I$7</f>
        <v>7.7866004599049479E-2</v>
      </c>
      <c r="J5">
        <f>J4/'Forecast (P&amp;L)'!J$7</f>
        <v>6.696400081891056E-2</v>
      </c>
      <c r="K5">
        <f>K4/'Forecast (P&amp;L)'!K$7</f>
        <v>-2.9882140615770214E-2</v>
      </c>
      <c r="L5">
        <f>L4/'Forecast (P&amp;L)'!L$7</f>
        <v>-2.5928380832990761E-2</v>
      </c>
      <c r="M5">
        <f>M4/'Forecast (P&amp;L)'!M$7</f>
        <v>-2.2375859772594674E-2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9FEC-2844-447D-B339-F285CC5FF9FE}">
  <sheetPr>
    <tabColor rgb="FFFF0000"/>
    <pageSetUpPr autoPageBreaks="0"/>
  </sheetPr>
  <dimension ref="A19:S22"/>
  <sheetViews>
    <sheetView showGridLines="0" showRowColHeaders="0" tabSelected="1" zoomScaleNormal="100" workbookViewId="0">
      <selection activeCell="P28" sqref="P28"/>
    </sheetView>
  </sheetViews>
  <sheetFormatPr defaultRowHeight="14.4" x14ac:dyDescent="0.3"/>
  <cols>
    <col min="4" max="4" width="12.109375" bestFit="1" customWidth="1"/>
    <col min="8" max="9" width="12.109375" bestFit="1" customWidth="1"/>
    <col min="11" max="11" width="10.88671875" bestFit="1" customWidth="1"/>
    <col min="12" max="12" width="9.88671875" bestFit="1" customWidth="1"/>
  </cols>
  <sheetData>
    <row r="19" spans="1:19" ht="25.8" x14ac:dyDescent="0.5">
      <c r="C19" s="9"/>
      <c r="D19" s="9"/>
      <c r="E19" s="9"/>
    </row>
    <row r="20" spans="1:19" ht="25.8" x14ac:dyDescent="0.5">
      <c r="A20" s="12" t="s">
        <v>57</v>
      </c>
      <c r="C20" s="9"/>
      <c r="D20" s="13" t="s">
        <v>58</v>
      </c>
      <c r="E20" s="9"/>
      <c r="G20" s="13" t="s">
        <v>59</v>
      </c>
      <c r="J20" s="13" t="s">
        <v>44</v>
      </c>
      <c r="L20" t="s">
        <v>45</v>
      </c>
      <c r="M20" s="13" t="s">
        <v>46</v>
      </c>
      <c r="Q20" s="13" t="s">
        <v>60</v>
      </c>
    </row>
    <row r="21" spans="1:19" ht="25.8" x14ac:dyDescent="0.3">
      <c r="B21" s="14">
        <f>('Forecast (P&amp;L)'!M7 / 'Forecast (P&amp;L)'!M2)*100</f>
        <v>22.886487896473152</v>
      </c>
      <c r="C21" s="18" t="s">
        <v>49</v>
      </c>
      <c r="D21" s="15">
        <f>'Revenue Model'!M7</f>
        <v>63412.089728127248</v>
      </c>
      <c r="E21" s="18" t="s">
        <v>47</v>
      </c>
      <c r="H21" s="14">
        <f>'Forecast (P&amp;L)'!M7</f>
        <v>14512.800240528537</v>
      </c>
      <c r="I21" s="18" t="s">
        <v>47</v>
      </c>
      <c r="K21" s="16">
        <f>'Revenue Model'!M5</f>
        <v>1268.241794562545</v>
      </c>
      <c r="L21" s="10"/>
      <c r="M21" s="17" t="s">
        <v>47</v>
      </c>
      <c r="N21" s="14">
        <f>Assumptions!C5/Assumptions!C4</f>
        <v>1666.6666666666667</v>
      </c>
      <c r="R21" s="14">
        <f>(Assumptions!C5/Assumptions!C4)/Assumptions!C8</f>
        <v>16.666666666666668</v>
      </c>
      <c r="S21" s="18" t="s">
        <v>48</v>
      </c>
    </row>
    <row r="22" spans="1:19" ht="25.8" x14ac:dyDescent="0.5">
      <c r="C22" s="9"/>
      <c r="D22" s="9"/>
      <c r="E22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Revenue Model</vt:lpstr>
      <vt:lpstr>Cost Model</vt:lpstr>
      <vt:lpstr>Forecast (P&amp;L)</vt:lpstr>
      <vt:lpstr>Actuals</vt:lpstr>
      <vt:lpstr>Variance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</dc:creator>
  <cp:lastModifiedBy>avinash ambakanti</cp:lastModifiedBy>
  <dcterms:created xsi:type="dcterms:W3CDTF">2015-06-05T18:17:20Z</dcterms:created>
  <dcterms:modified xsi:type="dcterms:W3CDTF">2026-03-26T19:45:37Z</dcterms:modified>
</cp:coreProperties>
</file>